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Cases'!$A$4:$F$62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<sst xmlns="http://schemas.openxmlformats.org/spreadsheetml/2006/main" count="381" uniqueCount="141">
  <si>
    <t xml:space="preserve">Book Flight — QA Test Case Repository</t>
  </si>
  <si>
    <t xml:space="preserve">Prepared by Mohammed Alrehaili  |  Tool: Jira + Zephyr Scale  |  58 test cases across Login and Flight Booking flows</t>
  </si>
  <si>
    <t xml:space="preserve">Test ID</t>
  </si>
  <si>
    <t xml:space="preserve">Module</t>
  </si>
  <si>
    <t xml:space="preserve">Test Group</t>
  </si>
  <si>
    <t xml:space="preserve">Priority</t>
  </si>
  <si>
    <t xml:space="preserve">Test Scenario</t>
  </si>
  <si>
    <t xml:space="preserve">Status</t>
  </si>
  <si>
    <t xml:space="preserve">BF-T63</t>
  </si>
  <si>
    <t xml:space="preserve">Login</t>
  </si>
  <si>
    <t xml:space="preserve">Valid Login</t>
  </si>
  <si>
    <t xml:space="preserve">High</t>
  </si>
  <si>
    <t xml:space="preserve">Verify that a user can sign in successfully when a valid User Name and Password are entered.</t>
  </si>
  <si>
    <t xml:space="preserve">Draft</t>
  </si>
  <si>
    <t xml:space="preserve">BF-T64</t>
  </si>
  <si>
    <t xml:space="preserve">Normal</t>
  </si>
  <si>
    <t xml:space="preserve">Verify that a user can sign in successfully with "Remember me" checked, and the session persists after reopening the browser.</t>
  </si>
  <si>
    <t xml:space="preserve">BF-T66</t>
  </si>
  <si>
    <t xml:space="preserve">Low</t>
  </si>
  <si>
    <t xml:space="preserve">Verify that a user can navigate to the Register page using the "Register" link.</t>
  </si>
  <si>
    <t xml:space="preserve">BF-T67</t>
  </si>
  <si>
    <t xml:space="preserve">Verify that the Password field masks the entered characters.</t>
  </si>
  <si>
    <t xml:space="preserve">BF-T68</t>
  </si>
  <si>
    <t xml:space="preserve">Invalid Login</t>
  </si>
  <si>
    <t xml:space="preserve">Verify that a user cannot sign in when the User Name field is empty.</t>
  </si>
  <si>
    <t xml:space="preserve">BF-T69</t>
  </si>
  <si>
    <t xml:space="preserve">Verify that a user cannot sign in when the Password field is empty.</t>
  </si>
  <si>
    <t xml:space="preserve">BF-T70</t>
  </si>
  <si>
    <t xml:space="preserve">Verify that a user cannot sign in when both User Name and Password fields are empty.</t>
  </si>
  <si>
    <t xml:space="preserve">BF-T71</t>
  </si>
  <si>
    <t xml:space="preserve">Verify that a user cannot sign in when an incorrect Password is entered for a valid User Name.</t>
  </si>
  <si>
    <t xml:space="preserve">BF-T72</t>
  </si>
  <si>
    <t xml:space="preserve">Verify that a user cannot sign in when a non-existent User Name is entered.</t>
  </si>
  <si>
    <t xml:space="preserve">BF-T73</t>
  </si>
  <si>
    <t xml:space="preserve">Verify that a user cannot sign in when User Name or Password contains only whitespace.</t>
  </si>
  <si>
    <t xml:space="preserve">BF-T74</t>
  </si>
  <si>
    <t xml:space="preserve">Verify that a user cannot sign in when Password case does not match the registered password.</t>
  </si>
  <si>
    <t xml:space="preserve">BF-T75</t>
  </si>
  <si>
    <t xml:space="preserve">Verify that an appropriate error message is displayed when sign-in fails due to invalid credentials.</t>
  </si>
  <si>
    <t xml:space="preserve">BF-T1</t>
  </si>
  <si>
    <t xml:space="preserve">Booking a Flight</t>
  </si>
  <si>
    <t xml:space="preserve">Valid Select Flight</t>
  </si>
  <si>
    <t xml:space="preserve">Verify that a user can proceed with "Return" trip type when Origin, Destination, Departing date, and Returning date are all valid.</t>
  </si>
  <si>
    <t xml:space="preserve">BF-T2</t>
  </si>
  <si>
    <t xml:space="preserve">Verify that a user can proceed with "One way" trip type when Origin, Destination, and Departing date are valid.</t>
  </si>
  <si>
    <t xml:space="preserve">BF-T4</t>
  </si>
  <si>
    <t xml:space="preserve">Verify that a user can select a Returning date equal to the Departing date.</t>
  </si>
  <si>
    <t xml:space="preserve">BF-T6</t>
  </si>
  <si>
    <t xml:space="preserve">Verify that a user can sign off from the flight selection page at any time.</t>
  </si>
  <si>
    <t xml:space="preserve">BF-T15</t>
  </si>
  <si>
    <t xml:space="preserve">Verify that a user can select a Departing date on the last day of a month with a Returning date in the following month.</t>
  </si>
  <si>
    <t xml:space="preserve">BF-T16</t>
  </si>
  <si>
    <t xml:space="preserve">Verify that a user can select Departing and Returning dates spanning a year boundary.</t>
  </si>
  <si>
    <t xml:space="preserve">BF-T18</t>
  </si>
  <si>
    <t xml:space="preserve">Verify that the Returning date field becomes hidden when switching trip type from "Return" to "One way".</t>
  </si>
  <si>
    <t xml:space="preserve">BF-T19</t>
  </si>
  <si>
    <t xml:space="preserve">Verify that a user can select the earliest and latest available values in the Departing and Returning date dropdowns.</t>
  </si>
  <si>
    <t xml:space="preserve">BF-T20</t>
  </si>
  <si>
    <t xml:space="preserve">Verify that clicking "Continue" repeatedly with valid data does not create duplicate submissions.</t>
  </si>
  <si>
    <t xml:space="preserve">BF-T7</t>
  </si>
  <si>
    <t xml:space="preserve">Invalid Select Flight</t>
  </si>
  <si>
    <t xml:space="preserve">Verify that a user cannot proceed when Origin and Destination are the same city.</t>
  </si>
  <si>
    <t xml:space="preserve">BF-T8</t>
  </si>
  <si>
    <t xml:space="preserve">Verify that a user cannot proceed when the Departing date is in the past.</t>
  </si>
  <si>
    <t xml:space="preserve">BF-T9</t>
  </si>
  <si>
    <t xml:space="preserve">Verify that a user cannot proceed when the Returning date is earlier than the Departing date.</t>
  </si>
  <si>
    <t xml:space="preserve">BF-T10</t>
  </si>
  <si>
    <t xml:space="preserve">Verify that a user cannot proceed when no Origin is selected.</t>
  </si>
  <si>
    <t xml:space="preserve">BF-T11</t>
  </si>
  <si>
    <t xml:space="preserve">Verify that a user cannot proceed when no Destination is selected.</t>
  </si>
  <si>
    <t xml:space="preserve">BF-T77</t>
  </si>
  <si>
    <t xml:space="preserve">Verify that a user cannot proceed by clicking "Continue" when no flight checkbox is selected.</t>
  </si>
  <si>
    <t xml:space="preserve">BF-T78</t>
  </si>
  <si>
    <t xml:space="preserve">Verify that a user cannot select more than one flight checkbox at the same time, if only a single flight selection is permitted.</t>
  </si>
  <si>
    <t xml:space="preserve">BF-T23</t>
  </si>
  <si>
    <t xml:space="preserve">Valid Passenger Details</t>
  </si>
  <si>
    <t xml:space="preserve">Verify that a user can proceed to the next step when First name and Last name are both provided with valid alphabetic characters.</t>
  </si>
  <si>
    <t xml:space="preserve">BF-T24</t>
  </si>
  <si>
    <t xml:space="preserve">Verify that the flight summary accurately displays the previously selected Departing and Returning flight details.</t>
  </si>
  <si>
    <t xml:space="preserve">BF-T26</t>
  </si>
  <si>
    <t xml:space="preserve">Verify that a user can proceed when First name and Last name each contain a single valid character.</t>
  </si>
  <si>
    <t xml:space="preserve">BF-T27</t>
  </si>
  <si>
    <t xml:space="preserve">Verify that a user can proceed when First name and Last name are at the maximum allowed character length.</t>
  </si>
  <si>
    <t xml:space="preserve">BF-T28</t>
  </si>
  <si>
    <t xml:space="preserve">Verify that a user can sign off from the Passenger Details page at any time.</t>
  </si>
  <si>
    <t xml:space="preserve">BF-T29</t>
  </si>
  <si>
    <t xml:space="preserve">Invalid Passenger Details</t>
  </si>
  <si>
    <t xml:space="preserve">Verify that a user cannot proceed when First name is left empty.</t>
  </si>
  <si>
    <t xml:space="preserve">BF-T30</t>
  </si>
  <si>
    <t xml:space="preserve">Verify that a user cannot proceed when Last name is left empty.</t>
  </si>
  <si>
    <t xml:space="preserve">BF-T31</t>
  </si>
  <si>
    <t xml:space="preserve">Verify that a user cannot proceed when both First name and Last name are left empty.</t>
  </si>
  <si>
    <t xml:space="preserve">BF-T32</t>
  </si>
  <si>
    <t xml:space="preserve">Verify that a user cannot proceed when First name or Last name contains only whitespace.</t>
  </si>
  <si>
    <t xml:space="preserve">BF-T33</t>
  </si>
  <si>
    <t xml:space="preserve">Verify that a user cannot proceed when First name or Last name contains numeric characters.</t>
  </si>
  <si>
    <t xml:space="preserve">BF-T34</t>
  </si>
  <si>
    <t xml:space="preserve">Verify that a user cannot proceed when First name or Last name contains invalid special characters (e.g., @, #, $).</t>
  </si>
  <si>
    <t xml:space="preserve">BF-T35</t>
  </si>
  <si>
    <t xml:space="preserve">Verify that a user cannot proceed when First name or Last name exceeds the maximum allowed character length.</t>
  </si>
  <si>
    <t xml:space="preserve">BF-T37</t>
  </si>
  <si>
    <t xml:space="preserve">Valid Payment</t>
  </si>
  <si>
    <t xml:space="preserve">Verify that a user can complete payment when Card type, Card holder's name, a valid Card number, and a future Expiry date are all provided.</t>
  </si>
  <si>
    <t xml:space="preserve">BF-T38</t>
  </si>
  <si>
    <t xml:space="preserve">Verify that a user can select "Visa" as the Card type and proceed with a valid card number.</t>
  </si>
  <si>
    <t xml:space="preserve">BF-T39</t>
  </si>
  <si>
    <t xml:space="preserve">Verify that a user can select "Master" as the Card type and proceed with a valid card number.</t>
  </si>
  <si>
    <t xml:space="preserve">BF-T40</t>
  </si>
  <si>
    <t xml:space="preserve">Verify that the Fare amount displayed matches the previously selected flight itinerary and price.</t>
  </si>
  <si>
    <t xml:space="preserve">BF-T42</t>
  </si>
  <si>
    <t xml:space="preserve">Verify that a user can edit the pre-filled Card holder's name before submitting payment.</t>
  </si>
  <si>
    <t xml:space="preserve">BF-T43</t>
  </si>
  <si>
    <t xml:space="preserve">Verify that a user can sign off from the payment page at any time.</t>
  </si>
  <si>
    <t xml:space="preserve">BF-T52</t>
  </si>
  <si>
    <t xml:space="preserve">Verify that a Confirmation section with a unique Booking number is displayed after clicking "Pay now" with valid payment details.</t>
  </si>
  <si>
    <t xml:space="preserve">BF-T53</t>
  </si>
  <si>
    <t xml:space="preserve">Verify that the Confirmation section displays the correct return flight details (Departing and Returning flights) matching the originally selected itinerary.</t>
  </si>
  <si>
    <t xml:space="preserve">BF-T54</t>
  </si>
  <si>
    <t xml:space="preserve">Verify that the Confirmation section displays the Passenger Details matching the name entered on the Passenger Details page.</t>
  </si>
  <si>
    <t xml:space="preserve">BF-T56</t>
  </si>
  <si>
    <t xml:space="preserve">Verify that a user can sign off after viewing the booking confirmation.</t>
  </si>
  <si>
    <t xml:space="preserve">BF-T44</t>
  </si>
  <si>
    <t xml:space="preserve">Invalid Payment</t>
  </si>
  <si>
    <t xml:space="preserve">Verify that a user cannot proceed when no Card type is selected.</t>
  </si>
  <si>
    <t xml:space="preserve">BF-T45</t>
  </si>
  <si>
    <t xml:space="preserve">Verify that a user cannot proceed when Card holder's name is empty.</t>
  </si>
  <si>
    <t xml:space="preserve">BF-T46</t>
  </si>
  <si>
    <t xml:space="preserve">Verify that a user cannot proceed when Card number is empty.</t>
  </si>
  <si>
    <t xml:space="preserve">BF-T47</t>
  </si>
  <si>
    <t xml:space="preserve">Verify that a user cannot proceed when Card number contains non-numeric characters.</t>
  </si>
  <si>
    <t xml:space="preserve">BF-T48</t>
  </si>
  <si>
    <t xml:space="preserve">Verify that a user cannot proceed when Card number does not match the required length for the selected Card type.</t>
  </si>
  <si>
    <t xml:space="preserve">BF-T49</t>
  </si>
  <si>
    <t xml:space="preserve">Verify that a user cannot proceed when the Expiry date is earlier than the current month and year.</t>
  </si>
  <si>
    <t xml:space="preserve">BF-T50</t>
  </si>
  <si>
    <t xml:space="preserve">Verify that a user cannot proceed when Card holder's name contains numeric or invalid special characters.</t>
  </si>
  <si>
    <t xml:space="preserve">BF-T59</t>
  </si>
  <si>
    <t xml:space="preserve">Verify that clicking "Pay now" multiple times in quick succession does not generate multiple Booking numbers for the same transaction.</t>
  </si>
  <si>
    <t xml:space="preserve">Test Coverage Summary</t>
  </si>
  <si>
    <t xml:space="preserve">By Test Group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</si>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</sst>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D9E2F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D9D9D9"/>
      </patternFill>
    </fill>
    <fill>
      <patternFill patternType="solid">
        <fgColor rgb="FFF2F6FB"/>
        <bgColor rgb="FFFFFFFF"/>
      </patternFill>
    </fill>
    <fill>
      <patternFill patternType="solid">
        <fgColor rgb="FFFFEB9C"/>
        <bgColor rgb="FFD9D9D9"/>
      </patternFill>
    </fill>
    <fill>
      <patternFill patternType="solid">
        <fgColor rgb="FFC6EFCE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2E75B6"/>
      </top>
      <bottom style="thin">
        <color rgb="FFD9D9D9"/>
      </bottom>
      <diagonal/>
    </border>
    <border diagonalUp="false" diagonalDown="false">
      <left/>
      <right/>
      <top style="thin">
        <color rgb="FF2E75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6FB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0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7" t="s">
        <v>12</v>
      </c>
      <c r="F5" s="4" t="s">
        <v>13</v>
      </c>
    </row>
    <row r="6" customFormat="false" ht="23.85" hidden="false" customHeight="false" outlineLevel="0" collapsed="false">
      <c r="A6" s="8" t="s">
        <v>14</v>
      </c>
      <c r="B6" s="9" t="s">
        <v>9</v>
      </c>
      <c r="C6" s="9" t="s">
        <v>10</v>
      </c>
      <c r="D6" s="10" t="s">
        <v>15</v>
      </c>
      <c r="E6" s="11" t="s">
        <v>16</v>
      </c>
      <c r="F6" s="8" t="s">
        <v>13</v>
      </c>
    </row>
    <row r="7" customFormat="false" ht="15" hidden="false" customHeight="false" outlineLevel="0" collapsed="false">
      <c r="A7" s="12" t="s">
        <v>17</v>
      </c>
      <c r="B7" s="13" t="s">
        <v>9</v>
      </c>
      <c r="C7" s="13" t="s">
        <v>10</v>
      </c>
      <c r="D7" s="14" t="s">
        <v>18</v>
      </c>
      <c r="E7" s="15" t="s">
        <v>19</v>
      </c>
      <c r="F7" s="12" t="s">
        <v>13</v>
      </c>
    </row>
    <row r="8" customFormat="false" ht="15" hidden="false" customHeight="false" outlineLevel="0" collapsed="false">
      <c r="A8" s="8" t="s">
        <v>20</v>
      </c>
      <c r="B8" s="9" t="s">
        <v>9</v>
      </c>
      <c r="C8" s="9" t="s">
        <v>10</v>
      </c>
      <c r="D8" s="10" t="s">
        <v>15</v>
      </c>
      <c r="E8" s="11" t="s">
        <v>21</v>
      </c>
      <c r="F8" s="8" t="s">
        <v>13</v>
      </c>
    </row>
    <row r="9" customFormat="false" ht="15" hidden="false" customHeight="false" outlineLevel="0" collapsed="false">
      <c r="A9" s="4" t="s">
        <v>22</v>
      </c>
      <c r="B9" s="5" t="s">
        <v>9</v>
      </c>
      <c r="C9" s="5" t="s">
        <v>23</v>
      </c>
      <c r="D9" s="6" t="s">
        <v>11</v>
      </c>
      <c r="E9" s="7" t="s">
        <v>24</v>
      </c>
      <c r="F9" s="4" t="s">
        <v>13</v>
      </c>
    </row>
    <row r="10" customFormat="false" ht="15" hidden="false" customHeight="false" outlineLevel="0" collapsed="false">
      <c r="A10" s="8" t="s">
        <v>25</v>
      </c>
      <c r="B10" s="9" t="s">
        <v>9</v>
      </c>
      <c r="C10" s="9" t="s">
        <v>23</v>
      </c>
      <c r="D10" s="16" t="s">
        <v>11</v>
      </c>
      <c r="E10" s="11" t="s">
        <v>26</v>
      </c>
      <c r="F10" s="8" t="s">
        <v>13</v>
      </c>
    </row>
    <row r="11" customFormat="false" ht="15" hidden="false" customHeight="false" outlineLevel="0" collapsed="false">
      <c r="A11" s="12" t="s">
        <v>27</v>
      </c>
      <c r="B11" s="13" t="s">
        <v>9</v>
      </c>
      <c r="C11" s="13" t="s">
        <v>23</v>
      </c>
      <c r="D11" s="10" t="s">
        <v>15</v>
      </c>
      <c r="E11" s="15" t="s">
        <v>28</v>
      </c>
      <c r="F11" s="12" t="s">
        <v>13</v>
      </c>
    </row>
    <row r="12" customFormat="false" ht="15" hidden="false" customHeight="false" outlineLevel="0" collapsed="false">
      <c r="A12" s="8" t="s">
        <v>29</v>
      </c>
      <c r="B12" s="9" t="s">
        <v>9</v>
      </c>
      <c r="C12" s="9" t="s">
        <v>23</v>
      </c>
      <c r="D12" s="16" t="s">
        <v>11</v>
      </c>
      <c r="E12" s="11" t="s">
        <v>30</v>
      </c>
      <c r="F12" s="8" t="s">
        <v>13</v>
      </c>
    </row>
    <row r="13" customFormat="false" ht="15" hidden="false" customHeight="false" outlineLevel="0" collapsed="false">
      <c r="A13" s="12" t="s">
        <v>31</v>
      </c>
      <c r="B13" s="13" t="s">
        <v>9</v>
      </c>
      <c r="C13" s="13" t="s">
        <v>23</v>
      </c>
      <c r="D13" s="16" t="s">
        <v>11</v>
      </c>
      <c r="E13" s="15" t="s">
        <v>32</v>
      </c>
      <c r="F13" s="12" t="s">
        <v>13</v>
      </c>
    </row>
    <row r="14" customFormat="false" ht="15" hidden="false" customHeight="false" outlineLevel="0" collapsed="false">
      <c r="A14" s="8" t="s">
        <v>33</v>
      </c>
      <c r="B14" s="9" t="s">
        <v>9</v>
      </c>
      <c r="C14" s="9" t="s">
        <v>23</v>
      </c>
      <c r="D14" s="10" t="s">
        <v>15</v>
      </c>
      <c r="E14" s="11" t="s">
        <v>34</v>
      </c>
      <c r="F14" s="8" t="s">
        <v>13</v>
      </c>
    </row>
    <row r="15" customFormat="false" ht="15" hidden="false" customHeight="false" outlineLevel="0" collapsed="false">
      <c r="A15" s="12" t="s">
        <v>35</v>
      </c>
      <c r="B15" s="13" t="s">
        <v>9</v>
      </c>
      <c r="C15" s="13" t="s">
        <v>23</v>
      </c>
      <c r="D15" s="10" t="s">
        <v>15</v>
      </c>
      <c r="E15" s="15" t="s">
        <v>36</v>
      </c>
      <c r="F15" s="12" t="s">
        <v>13</v>
      </c>
    </row>
    <row r="16" customFormat="false" ht="15" hidden="false" customHeight="false" outlineLevel="0" collapsed="false">
      <c r="A16" s="8" t="s">
        <v>37</v>
      </c>
      <c r="B16" s="9" t="s">
        <v>9</v>
      </c>
      <c r="C16" s="9" t="s">
        <v>23</v>
      </c>
      <c r="D16" s="16" t="s">
        <v>11</v>
      </c>
      <c r="E16" s="11" t="s">
        <v>38</v>
      </c>
      <c r="F16" s="8" t="s">
        <v>13</v>
      </c>
    </row>
    <row r="17" customFormat="false" ht="23.85" hidden="false" customHeight="false" outlineLevel="0" collapsed="false">
      <c r="A17" s="4" t="s">
        <v>39</v>
      </c>
      <c r="B17" s="5" t="s">
        <v>40</v>
      </c>
      <c r="C17" s="5" t="s">
        <v>41</v>
      </c>
      <c r="D17" s="6" t="s">
        <v>11</v>
      </c>
      <c r="E17" s="7" t="s">
        <v>42</v>
      </c>
      <c r="F17" s="4" t="s">
        <v>13</v>
      </c>
    </row>
    <row r="18" customFormat="false" ht="15" hidden="false" customHeight="false" outlineLevel="0" collapsed="false">
      <c r="A18" s="8" t="s">
        <v>43</v>
      </c>
      <c r="B18" s="9" t="s">
        <v>40</v>
      </c>
      <c r="C18" s="9" t="s">
        <v>41</v>
      </c>
      <c r="D18" s="16" t="s">
        <v>11</v>
      </c>
      <c r="E18" s="11" t="s">
        <v>44</v>
      </c>
      <c r="F18" s="8" t="s">
        <v>13</v>
      </c>
    </row>
    <row r="19" customFormat="false" ht="15" hidden="false" customHeight="false" outlineLevel="0" collapsed="false">
      <c r="A19" s="12" t="s">
        <v>45</v>
      </c>
      <c r="B19" s="13" t="s">
        <v>40</v>
      </c>
      <c r="C19" s="13" t="s">
        <v>41</v>
      </c>
      <c r="D19" s="10" t="s">
        <v>15</v>
      </c>
      <c r="E19" s="15" t="s">
        <v>46</v>
      </c>
      <c r="F19" s="12" t="s">
        <v>13</v>
      </c>
    </row>
    <row r="20" customFormat="false" ht="15" hidden="false" customHeight="false" outlineLevel="0" collapsed="false">
      <c r="A20" s="8" t="s">
        <v>47</v>
      </c>
      <c r="B20" s="9" t="s">
        <v>40</v>
      </c>
      <c r="C20" s="9" t="s">
        <v>41</v>
      </c>
      <c r="D20" s="14" t="s">
        <v>18</v>
      </c>
      <c r="E20" s="11" t="s">
        <v>48</v>
      </c>
      <c r="F20" s="8" t="s">
        <v>13</v>
      </c>
    </row>
    <row r="21" customFormat="false" ht="15" hidden="false" customHeight="false" outlineLevel="0" collapsed="false">
      <c r="A21" s="12" t="s">
        <v>49</v>
      </c>
      <c r="B21" s="13" t="s">
        <v>40</v>
      </c>
      <c r="C21" s="13" t="s">
        <v>41</v>
      </c>
      <c r="D21" s="14" t="s">
        <v>18</v>
      </c>
      <c r="E21" s="15" t="s">
        <v>50</v>
      </c>
      <c r="F21" s="12" t="s">
        <v>13</v>
      </c>
    </row>
    <row r="22" customFormat="false" ht="15" hidden="false" customHeight="false" outlineLevel="0" collapsed="false">
      <c r="A22" s="8" t="s">
        <v>51</v>
      </c>
      <c r="B22" s="9" t="s">
        <v>40</v>
      </c>
      <c r="C22" s="9" t="s">
        <v>41</v>
      </c>
      <c r="D22" s="14" t="s">
        <v>18</v>
      </c>
      <c r="E22" s="11" t="s">
        <v>52</v>
      </c>
      <c r="F22" s="8" t="s">
        <v>13</v>
      </c>
    </row>
    <row r="23" customFormat="false" ht="15" hidden="false" customHeight="false" outlineLevel="0" collapsed="false">
      <c r="A23" s="12" t="s">
        <v>53</v>
      </c>
      <c r="B23" s="13" t="s">
        <v>40</v>
      </c>
      <c r="C23" s="13" t="s">
        <v>41</v>
      </c>
      <c r="D23" s="16" t="s">
        <v>11</v>
      </c>
      <c r="E23" s="15" t="s">
        <v>54</v>
      </c>
      <c r="F23" s="12" t="s">
        <v>13</v>
      </c>
    </row>
    <row r="24" customFormat="false" ht="15" hidden="false" customHeight="false" outlineLevel="0" collapsed="false">
      <c r="A24" s="8" t="s">
        <v>55</v>
      </c>
      <c r="B24" s="9" t="s">
        <v>40</v>
      </c>
      <c r="C24" s="9" t="s">
        <v>41</v>
      </c>
      <c r="D24" s="14" t="s">
        <v>18</v>
      </c>
      <c r="E24" s="11" t="s">
        <v>56</v>
      </c>
      <c r="F24" s="8" t="s">
        <v>13</v>
      </c>
    </row>
    <row r="25" customFormat="false" ht="15" hidden="false" customHeight="false" outlineLevel="0" collapsed="false">
      <c r="A25" s="12" t="s">
        <v>57</v>
      </c>
      <c r="B25" s="13" t="s">
        <v>40</v>
      </c>
      <c r="C25" s="13" t="s">
        <v>41</v>
      </c>
      <c r="D25" s="16" t="s">
        <v>11</v>
      </c>
      <c r="E25" s="15" t="s">
        <v>58</v>
      </c>
      <c r="F25" s="12" t="s">
        <v>13</v>
      </c>
    </row>
    <row r="26" customFormat="false" ht="15" hidden="false" customHeight="false" outlineLevel="0" collapsed="false">
      <c r="A26" s="17" t="s">
        <v>59</v>
      </c>
      <c r="B26" s="18" t="s">
        <v>40</v>
      </c>
      <c r="C26" s="18" t="s">
        <v>60</v>
      </c>
      <c r="D26" s="6" t="s">
        <v>11</v>
      </c>
      <c r="E26" s="19" t="s">
        <v>61</v>
      </c>
      <c r="F26" s="17" t="s">
        <v>13</v>
      </c>
    </row>
    <row r="27" customFormat="false" ht="15" hidden="false" customHeight="false" outlineLevel="0" collapsed="false">
      <c r="A27" s="12" t="s">
        <v>62</v>
      </c>
      <c r="B27" s="13" t="s">
        <v>40</v>
      </c>
      <c r="C27" s="13" t="s">
        <v>60</v>
      </c>
      <c r="D27" s="16" t="s">
        <v>11</v>
      </c>
      <c r="E27" s="15" t="s">
        <v>63</v>
      </c>
      <c r="F27" s="12" t="s">
        <v>13</v>
      </c>
    </row>
    <row r="28" customFormat="false" ht="15" hidden="false" customHeight="false" outlineLevel="0" collapsed="false">
      <c r="A28" s="8" t="s">
        <v>64</v>
      </c>
      <c r="B28" s="9" t="s">
        <v>40</v>
      </c>
      <c r="C28" s="9" t="s">
        <v>60</v>
      </c>
      <c r="D28" s="16" t="s">
        <v>11</v>
      </c>
      <c r="E28" s="11" t="s">
        <v>65</v>
      </c>
      <c r="F28" s="8" t="s">
        <v>13</v>
      </c>
    </row>
    <row r="29" customFormat="false" ht="15" hidden="false" customHeight="false" outlineLevel="0" collapsed="false">
      <c r="A29" s="12" t="s">
        <v>66</v>
      </c>
      <c r="B29" s="13" t="s">
        <v>40</v>
      </c>
      <c r="C29" s="13" t="s">
        <v>60</v>
      </c>
      <c r="D29" s="16" t="s">
        <v>11</v>
      </c>
      <c r="E29" s="15" t="s">
        <v>67</v>
      </c>
      <c r="F29" s="12" t="s">
        <v>13</v>
      </c>
    </row>
    <row r="30" customFormat="false" ht="15" hidden="false" customHeight="false" outlineLevel="0" collapsed="false">
      <c r="A30" s="8" t="s">
        <v>68</v>
      </c>
      <c r="B30" s="9" t="s">
        <v>40</v>
      </c>
      <c r="C30" s="9" t="s">
        <v>60</v>
      </c>
      <c r="D30" s="16" t="s">
        <v>11</v>
      </c>
      <c r="E30" s="11" t="s">
        <v>69</v>
      </c>
      <c r="F30" s="8" t="s">
        <v>13</v>
      </c>
    </row>
    <row r="31" customFormat="false" ht="15" hidden="false" customHeight="false" outlineLevel="0" collapsed="false">
      <c r="A31" s="12" t="s">
        <v>70</v>
      </c>
      <c r="B31" s="13" t="s">
        <v>40</v>
      </c>
      <c r="C31" s="13" t="s">
        <v>60</v>
      </c>
      <c r="D31" s="16" t="s">
        <v>11</v>
      </c>
      <c r="E31" s="15" t="s">
        <v>71</v>
      </c>
      <c r="F31" s="12" t="s">
        <v>13</v>
      </c>
    </row>
    <row r="32" customFormat="false" ht="23.85" hidden="false" customHeight="false" outlineLevel="0" collapsed="false">
      <c r="A32" s="8" t="s">
        <v>72</v>
      </c>
      <c r="B32" s="9" t="s">
        <v>40</v>
      </c>
      <c r="C32" s="9" t="s">
        <v>60</v>
      </c>
      <c r="D32" s="16" t="s">
        <v>11</v>
      </c>
      <c r="E32" s="11" t="s">
        <v>73</v>
      </c>
      <c r="F32" s="8" t="s">
        <v>13</v>
      </c>
    </row>
    <row r="33" customFormat="false" ht="23.85" hidden="false" customHeight="false" outlineLevel="0" collapsed="false">
      <c r="A33" s="4" t="s">
        <v>74</v>
      </c>
      <c r="B33" s="5" t="s">
        <v>40</v>
      </c>
      <c r="C33" s="5" t="s">
        <v>75</v>
      </c>
      <c r="D33" s="6" t="s">
        <v>11</v>
      </c>
      <c r="E33" s="7" t="s">
        <v>76</v>
      </c>
      <c r="F33" s="4" t="s">
        <v>13</v>
      </c>
    </row>
    <row r="34" customFormat="false" ht="15" hidden="false" customHeight="false" outlineLevel="0" collapsed="false">
      <c r="A34" s="8" t="s">
        <v>77</v>
      </c>
      <c r="B34" s="9" t="s">
        <v>40</v>
      </c>
      <c r="C34" s="9" t="s">
        <v>75</v>
      </c>
      <c r="D34" s="10" t="s">
        <v>15</v>
      </c>
      <c r="E34" s="11" t="s">
        <v>78</v>
      </c>
      <c r="F34" s="8" t="s">
        <v>13</v>
      </c>
    </row>
    <row r="35" customFormat="false" ht="15" hidden="false" customHeight="false" outlineLevel="0" collapsed="false">
      <c r="A35" s="12" t="s">
        <v>79</v>
      </c>
      <c r="B35" s="13" t="s">
        <v>40</v>
      </c>
      <c r="C35" s="13" t="s">
        <v>75</v>
      </c>
      <c r="D35" s="14" t="s">
        <v>18</v>
      </c>
      <c r="E35" s="15" t="s">
        <v>80</v>
      </c>
      <c r="F35" s="12" t="s">
        <v>13</v>
      </c>
    </row>
    <row r="36" customFormat="false" ht="15" hidden="false" customHeight="false" outlineLevel="0" collapsed="false">
      <c r="A36" s="8" t="s">
        <v>81</v>
      </c>
      <c r="B36" s="9" t="s">
        <v>40</v>
      </c>
      <c r="C36" s="9" t="s">
        <v>75</v>
      </c>
      <c r="D36" s="14" t="s">
        <v>18</v>
      </c>
      <c r="E36" s="11" t="s">
        <v>82</v>
      </c>
      <c r="F36" s="8" t="s">
        <v>13</v>
      </c>
    </row>
    <row r="37" customFormat="false" ht="15" hidden="false" customHeight="false" outlineLevel="0" collapsed="false">
      <c r="A37" s="12" t="s">
        <v>83</v>
      </c>
      <c r="B37" s="13" t="s">
        <v>40</v>
      </c>
      <c r="C37" s="13" t="s">
        <v>75</v>
      </c>
      <c r="D37" s="14" t="s">
        <v>18</v>
      </c>
      <c r="E37" s="15" t="s">
        <v>84</v>
      </c>
      <c r="F37" s="12" t="s">
        <v>13</v>
      </c>
    </row>
    <row r="38" customFormat="false" ht="15" hidden="false" customHeight="false" outlineLevel="0" collapsed="false">
      <c r="A38" s="17" t="s">
        <v>85</v>
      </c>
      <c r="B38" s="18" t="s">
        <v>40</v>
      </c>
      <c r="C38" s="18" t="s">
        <v>86</v>
      </c>
      <c r="D38" s="6" t="s">
        <v>11</v>
      </c>
      <c r="E38" s="19" t="s">
        <v>87</v>
      </c>
      <c r="F38" s="17" t="s">
        <v>13</v>
      </c>
    </row>
    <row r="39" customFormat="false" ht="15" hidden="false" customHeight="false" outlineLevel="0" collapsed="false">
      <c r="A39" s="12" t="s">
        <v>88</v>
      </c>
      <c r="B39" s="13" t="s">
        <v>40</v>
      </c>
      <c r="C39" s="13" t="s">
        <v>86</v>
      </c>
      <c r="D39" s="16" t="s">
        <v>11</v>
      </c>
      <c r="E39" s="15" t="s">
        <v>89</v>
      </c>
      <c r="F39" s="12" t="s">
        <v>13</v>
      </c>
    </row>
    <row r="40" customFormat="false" ht="15" hidden="false" customHeight="false" outlineLevel="0" collapsed="false">
      <c r="A40" s="8" t="s">
        <v>90</v>
      </c>
      <c r="B40" s="9" t="s">
        <v>40</v>
      </c>
      <c r="C40" s="9" t="s">
        <v>86</v>
      </c>
      <c r="D40" s="10" t="s">
        <v>15</v>
      </c>
      <c r="E40" s="11" t="s">
        <v>91</v>
      </c>
      <c r="F40" s="8" t="s">
        <v>13</v>
      </c>
    </row>
    <row r="41" customFormat="false" ht="15" hidden="false" customHeight="false" outlineLevel="0" collapsed="false">
      <c r="A41" s="12" t="s">
        <v>92</v>
      </c>
      <c r="B41" s="13" t="s">
        <v>40</v>
      </c>
      <c r="C41" s="13" t="s">
        <v>86</v>
      </c>
      <c r="D41" s="10" t="s">
        <v>15</v>
      </c>
      <c r="E41" s="15" t="s">
        <v>93</v>
      </c>
      <c r="F41" s="12" t="s">
        <v>13</v>
      </c>
    </row>
    <row r="42" customFormat="false" ht="15" hidden="false" customHeight="false" outlineLevel="0" collapsed="false">
      <c r="A42" s="8" t="s">
        <v>94</v>
      </c>
      <c r="B42" s="9" t="s">
        <v>40</v>
      </c>
      <c r="C42" s="9" t="s">
        <v>86</v>
      </c>
      <c r="D42" s="16" t="s">
        <v>11</v>
      </c>
      <c r="E42" s="11" t="s">
        <v>95</v>
      </c>
      <c r="F42" s="8" t="s">
        <v>13</v>
      </c>
    </row>
    <row r="43" customFormat="false" ht="15" hidden="false" customHeight="false" outlineLevel="0" collapsed="false">
      <c r="A43" s="12" t="s">
        <v>96</v>
      </c>
      <c r="B43" s="13" t="s">
        <v>40</v>
      </c>
      <c r="C43" s="13" t="s">
        <v>86</v>
      </c>
      <c r="D43" s="16" t="s">
        <v>11</v>
      </c>
      <c r="E43" s="15" t="s">
        <v>97</v>
      </c>
      <c r="F43" s="12" t="s">
        <v>13</v>
      </c>
    </row>
    <row r="44" customFormat="false" ht="15" hidden="false" customHeight="false" outlineLevel="0" collapsed="false">
      <c r="A44" s="8" t="s">
        <v>98</v>
      </c>
      <c r="B44" s="9" t="s">
        <v>40</v>
      </c>
      <c r="C44" s="9" t="s">
        <v>86</v>
      </c>
      <c r="D44" s="14" t="s">
        <v>18</v>
      </c>
      <c r="E44" s="11" t="s">
        <v>99</v>
      </c>
      <c r="F44" s="8" t="s">
        <v>13</v>
      </c>
    </row>
    <row r="45" customFormat="false" ht="23.85" hidden="false" customHeight="false" outlineLevel="0" collapsed="false">
      <c r="A45" s="4" t="s">
        <v>100</v>
      </c>
      <c r="B45" s="5" t="s">
        <v>40</v>
      </c>
      <c r="C45" s="5" t="s">
        <v>101</v>
      </c>
      <c r="D45" s="6" t="s">
        <v>11</v>
      </c>
      <c r="E45" s="7" t="s">
        <v>102</v>
      </c>
      <c r="F45" s="4" t="s">
        <v>13</v>
      </c>
    </row>
    <row r="46" customFormat="false" ht="15" hidden="false" customHeight="false" outlineLevel="0" collapsed="false">
      <c r="A46" s="8" t="s">
        <v>103</v>
      </c>
      <c r="B46" s="9" t="s">
        <v>40</v>
      </c>
      <c r="C46" s="9" t="s">
        <v>101</v>
      </c>
      <c r="D46" s="10" t="s">
        <v>15</v>
      </c>
      <c r="E46" s="11" t="s">
        <v>104</v>
      </c>
      <c r="F46" s="8" t="s">
        <v>13</v>
      </c>
    </row>
    <row r="47" customFormat="false" ht="15" hidden="false" customHeight="false" outlineLevel="0" collapsed="false">
      <c r="A47" s="12" t="s">
        <v>105</v>
      </c>
      <c r="B47" s="13" t="s">
        <v>40</v>
      </c>
      <c r="C47" s="13" t="s">
        <v>101</v>
      </c>
      <c r="D47" s="10" t="s">
        <v>15</v>
      </c>
      <c r="E47" s="15" t="s">
        <v>106</v>
      </c>
      <c r="F47" s="12" t="s">
        <v>13</v>
      </c>
    </row>
    <row r="48" customFormat="false" ht="15" hidden="false" customHeight="false" outlineLevel="0" collapsed="false">
      <c r="A48" s="8" t="s">
        <v>107</v>
      </c>
      <c r="B48" s="9" t="s">
        <v>40</v>
      </c>
      <c r="C48" s="9" t="s">
        <v>101</v>
      </c>
      <c r="D48" s="16" t="s">
        <v>11</v>
      </c>
      <c r="E48" s="11" t="s">
        <v>108</v>
      </c>
      <c r="F48" s="8" t="s">
        <v>13</v>
      </c>
    </row>
    <row r="49" customFormat="false" ht="15" hidden="false" customHeight="false" outlineLevel="0" collapsed="false">
      <c r="A49" s="12" t="s">
        <v>109</v>
      </c>
      <c r="B49" s="13" t="s">
        <v>40</v>
      </c>
      <c r="C49" s="13" t="s">
        <v>101</v>
      </c>
      <c r="D49" s="10" t="s">
        <v>15</v>
      </c>
      <c r="E49" s="15" t="s">
        <v>110</v>
      </c>
      <c r="F49" s="12" t="s">
        <v>13</v>
      </c>
    </row>
    <row r="50" customFormat="false" ht="15" hidden="false" customHeight="false" outlineLevel="0" collapsed="false">
      <c r="A50" s="8" t="s">
        <v>111</v>
      </c>
      <c r="B50" s="9" t="s">
        <v>40</v>
      </c>
      <c r="C50" s="9" t="s">
        <v>101</v>
      </c>
      <c r="D50" s="14" t="s">
        <v>18</v>
      </c>
      <c r="E50" s="11" t="s">
        <v>112</v>
      </c>
      <c r="F50" s="8" t="s">
        <v>13</v>
      </c>
    </row>
    <row r="51" customFormat="false" ht="23.85" hidden="false" customHeight="false" outlineLevel="0" collapsed="false">
      <c r="A51" s="12" t="s">
        <v>113</v>
      </c>
      <c r="B51" s="13" t="s">
        <v>40</v>
      </c>
      <c r="C51" s="13" t="s">
        <v>101</v>
      </c>
      <c r="D51" s="16" t="s">
        <v>11</v>
      </c>
      <c r="E51" s="15" t="s">
        <v>114</v>
      </c>
      <c r="F51" s="12" t="s">
        <v>13</v>
      </c>
    </row>
    <row r="52" customFormat="false" ht="23.85" hidden="false" customHeight="false" outlineLevel="0" collapsed="false">
      <c r="A52" s="8" t="s">
        <v>115</v>
      </c>
      <c r="B52" s="9" t="s">
        <v>40</v>
      </c>
      <c r="C52" s="9" t="s">
        <v>101</v>
      </c>
      <c r="D52" s="16" t="s">
        <v>11</v>
      </c>
      <c r="E52" s="11" t="s">
        <v>116</v>
      </c>
      <c r="F52" s="8" t="s">
        <v>13</v>
      </c>
    </row>
    <row r="53" customFormat="false" ht="23.85" hidden="false" customHeight="false" outlineLevel="0" collapsed="false">
      <c r="A53" s="12" t="s">
        <v>117</v>
      </c>
      <c r="B53" s="13" t="s">
        <v>40</v>
      </c>
      <c r="C53" s="13" t="s">
        <v>101</v>
      </c>
      <c r="D53" s="16" t="s">
        <v>11</v>
      </c>
      <c r="E53" s="15" t="s">
        <v>118</v>
      </c>
      <c r="F53" s="12" t="s">
        <v>13</v>
      </c>
    </row>
    <row r="54" customFormat="false" ht="15" hidden="false" customHeight="false" outlineLevel="0" collapsed="false">
      <c r="A54" s="8" t="s">
        <v>119</v>
      </c>
      <c r="B54" s="9" t="s">
        <v>40</v>
      </c>
      <c r="C54" s="9" t="s">
        <v>101</v>
      </c>
      <c r="D54" s="14" t="s">
        <v>18</v>
      </c>
      <c r="E54" s="11" t="s">
        <v>120</v>
      </c>
      <c r="F54" s="8" t="s">
        <v>13</v>
      </c>
    </row>
    <row r="55" customFormat="false" ht="15" hidden="false" customHeight="false" outlineLevel="0" collapsed="false">
      <c r="A55" s="4" t="s">
        <v>121</v>
      </c>
      <c r="B55" s="5" t="s">
        <v>40</v>
      </c>
      <c r="C55" s="5" t="s">
        <v>122</v>
      </c>
      <c r="D55" s="6" t="s">
        <v>11</v>
      </c>
      <c r="E55" s="7" t="s">
        <v>123</v>
      </c>
      <c r="F55" s="4" t="s">
        <v>13</v>
      </c>
    </row>
    <row r="56" customFormat="false" ht="15" hidden="false" customHeight="false" outlineLevel="0" collapsed="false">
      <c r="A56" s="8" t="s">
        <v>124</v>
      </c>
      <c r="B56" s="9" t="s">
        <v>40</v>
      </c>
      <c r="C56" s="9" t="s">
        <v>122</v>
      </c>
      <c r="D56" s="16" t="s">
        <v>11</v>
      </c>
      <c r="E56" s="11" t="s">
        <v>125</v>
      </c>
      <c r="F56" s="8" t="s">
        <v>13</v>
      </c>
    </row>
    <row r="57" customFormat="false" ht="15" hidden="false" customHeight="false" outlineLevel="0" collapsed="false">
      <c r="A57" s="12" t="s">
        <v>126</v>
      </c>
      <c r="B57" s="13" t="s">
        <v>40</v>
      </c>
      <c r="C57" s="13" t="s">
        <v>122</v>
      </c>
      <c r="D57" s="16" t="s">
        <v>11</v>
      </c>
      <c r="E57" s="15" t="s">
        <v>127</v>
      </c>
      <c r="F57" s="12" t="s">
        <v>13</v>
      </c>
    </row>
    <row r="58" customFormat="false" ht="15" hidden="false" customHeight="false" outlineLevel="0" collapsed="false">
      <c r="A58" s="8" t="s">
        <v>128</v>
      </c>
      <c r="B58" s="9" t="s">
        <v>40</v>
      </c>
      <c r="C58" s="9" t="s">
        <v>122</v>
      </c>
      <c r="D58" s="16" t="s">
        <v>11</v>
      </c>
      <c r="E58" s="11" t="s">
        <v>129</v>
      </c>
      <c r="F58" s="8" t="s">
        <v>13</v>
      </c>
    </row>
    <row r="59" customFormat="false" ht="15" hidden="false" customHeight="false" outlineLevel="0" collapsed="false">
      <c r="A59" s="12" t="s">
        <v>130</v>
      </c>
      <c r="B59" s="13" t="s">
        <v>40</v>
      </c>
      <c r="C59" s="13" t="s">
        <v>122</v>
      </c>
      <c r="D59" s="14" t="s">
        <v>18</v>
      </c>
      <c r="E59" s="15" t="s">
        <v>131</v>
      </c>
      <c r="F59" s="12" t="s">
        <v>13</v>
      </c>
    </row>
    <row r="60" customFormat="false" ht="15" hidden="false" customHeight="false" outlineLevel="0" collapsed="false">
      <c r="A60" s="8" t="s">
        <v>132</v>
      </c>
      <c r="B60" s="9" t="s">
        <v>40</v>
      </c>
      <c r="C60" s="9" t="s">
        <v>122</v>
      </c>
      <c r="D60" s="16" t="s">
        <v>11</v>
      </c>
      <c r="E60" s="11" t="s">
        <v>133</v>
      </c>
      <c r="F60" s="8" t="s">
        <v>13</v>
      </c>
    </row>
    <row r="61" customFormat="false" ht="15" hidden="false" customHeight="false" outlineLevel="0" collapsed="false">
      <c r="A61" s="12" t="s">
        <v>134</v>
      </c>
      <c r="B61" s="13" t="s">
        <v>40</v>
      </c>
      <c r="C61" s="13" t="s">
        <v>122</v>
      </c>
      <c r="D61" s="10" t="s">
        <v>15</v>
      </c>
      <c r="E61" s="15" t="s">
        <v>135</v>
      </c>
      <c r="F61" s="12" t="s">
        <v>13</v>
      </c>
    </row>
    <row r="62" customFormat="false" ht="23.85" hidden="false" customHeight="false" outlineLevel="0" collapsed="false">
      <c r="A62" s="8" t="s">
        <v>136</v>
      </c>
      <c r="B62" s="9" t="s">
        <v>40</v>
      </c>
      <c r="C62" s="9" t="s">
        <v>122</v>
      </c>
      <c r="D62" s="16" t="s">
        <v>11</v>
      </c>
      <c r="E62" s="11" t="s">
        <v>137</v>
      </c>
      <c r="F62" s="8" t="s">
        <v>13</v>
      </c>
    </row>
  </sheetData>
  <autoFilter ref="A4:F62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5" min="3" style="0" width="9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" t="s">
        <v>138</v>
      </c>
      <c r="B1" s="1"/>
      <c r="C1" s="1"/>
      <c r="D1" s="1"/>
      <c r="E1" s="1"/>
    </row>
    <row r="2" customFormat="false" ht="7.5" hidden="false" customHeight="true" outlineLevel="0" collapsed="false"/>
    <row r="4" customFormat="false" ht="15" hidden="false" customHeight="false" outlineLevel="0" collapsed="false">
      <c r="A4" s="20" t="s">
        <v>139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11</v>
      </c>
      <c r="D5" s="3" t="s">
        <v>15</v>
      </c>
      <c r="E5" s="3" t="s">
        <v>18</v>
      </c>
      <c r="F5" s="3" t="s">
        <v>140</v>
      </c>
    </row>
    <row r="6" customFormat="false" ht="15" hidden="false" customHeight="false" outlineLevel="0" collapsed="false">
      <c r="A6" s="21" t="s">
        <v>9</v>
      </c>
      <c r="B6" s="21" t="s">
        <v>10</v>
      </c>
      <c r="C6" s="22" t="n">
        <f aca="false">COUNTIFS('Test Cases'!$C$5:$C$62,$B6,'Test Cases'!$D$5:$D$62,C$5)</f>
        <v>1</v>
      </c>
      <c r="D6" s="22" t="n">
        <f aca="false">COUNTIFS('Test Cases'!$C$5:$C$62,$B6,'Test Cases'!$D$5:$D$62,D$5)</f>
        <v>2</v>
      </c>
      <c r="E6" s="22" t="n">
        <f aca="false">COUNTIFS('Test Cases'!$C$5:$C$62,$B6,'Test Cases'!$D$5:$D$62,E$5)</f>
        <v>1</v>
      </c>
      <c r="F6" s="23" t="n">
        <f aca="false">SUM(C6:E6)</f>
        <v>4</v>
      </c>
    </row>
    <row r="7" customFormat="false" ht="15" hidden="false" customHeight="false" outlineLevel="0" collapsed="false">
      <c r="A7" s="24" t="s">
        <v>9</v>
      </c>
      <c r="B7" s="24" t="s">
        <v>23</v>
      </c>
      <c r="C7" s="25" t="n">
        <f aca="false">COUNTIFS('Test Cases'!$C$5:$C$62,$B7,'Test Cases'!$D$5:$D$62,C$5)</f>
        <v>5</v>
      </c>
      <c r="D7" s="25" t="n">
        <f aca="false">COUNTIFS('Test Cases'!$C$5:$C$62,$B7,'Test Cases'!$D$5:$D$62,D$5)</f>
        <v>3</v>
      </c>
      <c r="E7" s="25" t="n">
        <f aca="false">COUNTIFS('Test Cases'!$C$5:$C$62,$B7,'Test Cases'!$D$5:$D$62,E$5)</f>
        <v>0</v>
      </c>
      <c r="F7" s="26" t="n">
        <f aca="false">SUM(C7:E7)</f>
        <v>8</v>
      </c>
    </row>
    <row r="8" customFormat="false" ht="15" hidden="false" customHeight="false" outlineLevel="0" collapsed="false">
      <c r="A8" s="21" t="s">
        <v>40</v>
      </c>
      <c r="B8" s="21" t="s">
        <v>41</v>
      </c>
      <c r="C8" s="22" t="n">
        <f aca="false">COUNTIFS('Test Cases'!$C$5:$C$62,$B8,'Test Cases'!$D$5:$D$62,C$5)</f>
        <v>4</v>
      </c>
      <c r="D8" s="22" t="n">
        <f aca="false">COUNTIFS('Test Cases'!$C$5:$C$62,$B8,'Test Cases'!$D$5:$D$62,D$5)</f>
        <v>1</v>
      </c>
      <c r="E8" s="22" t="n">
        <f aca="false">COUNTIFS('Test Cases'!$C$5:$C$62,$B8,'Test Cases'!$D$5:$D$62,E$5)</f>
        <v>4</v>
      </c>
      <c r="F8" s="23" t="n">
        <f aca="false">SUM(C8:E8)</f>
        <v>9</v>
      </c>
    </row>
    <row r="9" customFormat="false" ht="15" hidden="false" customHeight="false" outlineLevel="0" collapsed="false">
      <c r="A9" s="24" t="s">
        <v>40</v>
      </c>
      <c r="B9" s="24" t="s">
        <v>60</v>
      </c>
      <c r="C9" s="25" t="n">
        <f aca="false">COUNTIFS('Test Cases'!$C$5:$C$62,$B9,'Test Cases'!$D$5:$D$62,C$5)</f>
        <v>7</v>
      </c>
      <c r="D9" s="25" t="n">
        <f aca="false">COUNTIFS('Test Cases'!$C$5:$C$62,$B9,'Test Cases'!$D$5:$D$62,D$5)</f>
        <v>0</v>
      </c>
      <c r="E9" s="25" t="n">
        <f aca="false">COUNTIFS('Test Cases'!$C$5:$C$62,$B9,'Test Cases'!$D$5:$D$62,E$5)</f>
        <v>0</v>
      </c>
      <c r="F9" s="26" t="n">
        <f aca="false">SUM(C9:E9)</f>
        <v>7</v>
      </c>
    </row>
    <row r="10" customFormat="false" ht="15" hidden="false" customHeight="false" outlineLevel="0" collapsed="false">
      <c r="A10" s="21" t="s">
        <v>40</v>
      </c>
      <c r="B10" s="21" t="s">
        <v>75</v>
      </c>
      <c r="C10" s="22" t="n">
        <f aca="false">COUNTIFS('Test Cases'!$C$5:$C$62,$B10,'Test Cases'!$D$5:$D$62,C$5)</f>
        <v>1</v>
      </c>
      <c r="D10" s="22" t="n">
        <f aca="false">COUNTIFS('Test Cases'!$C$5:$C$62,$B10,'Test Cases'!$D$5:$D$62,D$5)</f>
        <v>1</v>
      </c>
      <c r="E10" s="22" t="n">
        <f aca="false">COUNTIFS('Test Cases'!$C$5:$C$62,$B10,'Test Cases'!$D$5:$D$62,E$5)</f>
        <v>3</v>
      </c>
      <c r="F10" s="23" t="n">
        <f aca="false">SUM(C10:E10)</f>
        <v>5</v>
      </c>
    </row>
    <row r="11" customFormat="false" ht="15" hidden="false" customHeight="false" outlineLevel="0" collapsed="false">
      <c r="A11" s="24" t="s">
        <v>40</v>
      </c>
      <c r="B11" s="24" t="s">
        <v>86</v>
      </c>
      <c r="C11" s="25" t="n">
        <f aca="false">COUNTIFS('Test Cases'!$C$5:$C$62,$B11,'Test Cases'!$D$5:$D$62,C$5)</f>
        <v>4</v>
      </c>
      <c r="D11" s="25" t="n">
        <f aca="false">COUNTIFS('Test Cases'!$C$5:$C$62,$B11,'Test Cases'!$D$5:$D$62,D$5)</f>
        <v>2</v>
      </c>
      <c r="E11" s="25" t="n">
        <f aca="false">COUNTIFS('Test Cases'!$C$5:$C$62,$B11,'Test Cases'!$D$5:$D$62,E$5)</f>
        <v>1</v>
      </c>
      <c r="F11" s="26" t="n">
        <f aca="false">SUM(C11:E11)</f>
        <v>7</v>
      </c>
    </row>
    <row r="12" customFormat="false" ht="15" hidden="false" customHeight="false" outlineLevel="0" collapsed="false">
      <c r="A12" s="21" t="s">
        <v>40</v>
      </c>
      <c r="B12" s="21" t="s">
        <v>101</v>
      </c>
      <c r="C12" s="22" t="n">
        <f aca="false">COUNTIFS('Test Cases'!$C$5:$C$62,$B12,'Test Cases'!$D$5:$D$62,C$5)</f>
        <v>5</v>
      </c>
      <c r="D12" s="22" t="n">
        <f aca="false">COUNTIFS('Test Cases'!$C$5:$C$62,$B12,'Test Cases'!$D$5:$D$62,D$5)</f>
        <v>3</v>
      </c>
      <c r="E12" s="22" t="n">
        <f aca="false">COUNTIFS('Test Cases'!$C$5:$C$62,$B12,'Test Cases'!$D$5:$D$62,E$5)</f>
        <v>2</v>
      </c>
      <c r="F12" s="23" t="n">
        <f aca="false">SUM(C12:E12)</f>
        <v>10</v>
      </c>
    </row>
    <row r="13" customFormat="false" ht="15" hidden="false" customHeight="false" outlineLevel="0" collapsed="false">
      <c r="A13" s="24" t="s">
        <v>40</v>
      </c>
      <c r="B13" s="24" t="s">
        <v>122</v>
      </c>
      <c r="C13" s="25" t="n">
        <f aca="false">COUNTIFS('Test Cases'!$C$5:$C$62,$B13,'Test Cases'!$D$5:$D$62,C$5)</f>
        <v>6</v>
      </c>
      <c r="D13" s="25" t="n">
        <f aca="false">COUNTIFS('Test Cases'!$C$5:$C$62,$B13,'Test Cases'!$D$5:$D$62,D$5)</f>
        <v>1</v>
      </c>
      <c r="E13" s="25" t="n">
        <f aca="false">COUNTIFS('Test Cases'!$C$5:$C$62,$B13,'Test Cases'!$D$5:$D$62,E$5)</f>
        <v>1</v>
      </c>
      <c r="F13" s="26" t="n">
        <f aca="false">SUM(C13:E13)</f>
        <v>8</v>
      </c>
    </row>
    <row r="14" customFormat="false" ht="15" hidden="false" customHeight="false" outlineLevel="0" collapsed="false">
      <c r="A14" s="27"/>
      <c r="B14" s="28" t="s">
        <v>140</v>
      </c>
      <c r="C14" s="29" t="n">
        <f aca="false">SUM(C6:C13)</f>
        <v>33</v>
      </c>
      <c r="D14" s="29" t="n">
        <f aca="false">SUM(D6:D13)</f>
        <v>13</v>
      </c>
      <c r="E14" s="29" t="n">
        <f aca="false">SUM(E6:E13)</f>
        <v>12</v>
      </c>
      <c r="F14" s="29" t="n">
        <f aca="false">SUM(F6:F13)</f>
        <v>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2026-08-17T18:06:36Z</dcterms:created>
  <dc:creator>openpyxl</dc:creator>
  <dc:description/>
  <dc:language>en-US</dc:language>
  <cp:lastModifiedBy/>
  <dcterms:modified xsi:type="dcterms:W3CDTF">2026-08-17T18:06:36Z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